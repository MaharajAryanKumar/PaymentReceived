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araj/Documents/"/>
    </mc:Choice>
  </mc:AlternateContent>
  <xr:revisionPtr revIDLastSave="0" documentId="8_{DF4DB1CE-F8EE-7143-AD97-8AF1403E11E2}" xr6:coauthVersionLast="47" xr6:coauthVersionMax="47" xr10:uidLastSave="{00000000-0000-0000-0000-000000000000}"/>
  <bookViews>
    <workbookView xWindow="-10440" yWindow="-28180" windowWidth="51200" windowHeight="28180" activeTab="1" xr2:uid="{DBA49EC3-AD36-2448-8931-CE2ADFBD40EC}"/>
  </bookViews>
  <sheets>
    <sheet name="Sheet1" sheetId="1" r:id="rId1"/>
    <sheet name="Final Pla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25" i="1"/>
  <c r="J26" i="1"/>
  <c r="I25" i="1"/>
  <c r="I26" i="1"/>
  <c r="I24" i="1"/>
  <c r="C7" i="1"/>
  <c r="I23" i="1"/>
  <c r="I22" i="1"/>
  <c r="I20" i="1"/>
  <c r="L2" i="1"/>
  <c r="I21" i="1"/>
  <c r="I19" i="1"/>
  <c r="K3" i="1"/>
</calcChain>
</file>

<file path=xl/sharedStrings.xml><?xml version="1.0" encoding="utf-8"?>
<sst xmlns="http://schemas.openxmlformats.org/spreadsheetml/2006/main" count="205" uniqueCount="119">
  <si>
    <t>Person</t>
  </si>
  <si>
    <t>High</t>
  </si>
  <si>
    <t>Medium</t>
  </si>
  <si>
    <t>Total</t>
  </si>
  <si>
    <t>Problem</t>
  </si>
  <si>
    <t>Desheng</t>
  </si>
  <si>
    <t>❌ Way too many highs</t>
  </si>
  <si>
    <t>Gene</t>
  </si>
  <si>
    <t>❌ Medium-heavy</t>
  </si>
  <si>
    <t>Jenny</t>
  </si>
  <si>
    <t>❌ Too light</t>
  </si>
  <si>
    <t>Steve</t>
  </si>
  <si>
    <t>❌ Extreme overload</t>
  </si>
  <si>
    <t>Yong</t>
  </si>
  <si>
    <t>Contractor</t>
  </si>
  <si>
    <r>
      <t>Contractor 1</t>
    </r>
    <r>
      <rPr>
        <sz val="12"/>
        <color theme="1"/>
        <rFont val="Calibri"/>
        <family val="2"/>
        <scheme val="minor"/>
      </rPr>
      <t xml:space="preserve"> (Mar)</t>
    </r>
  </si>
  <si>
    <r>
      <t>Contractor 2</t>
    </r>
    <r>
      <rPr>
        <sz val="12"/>
        <color theme="1"/>
        <rFont val="Calibri"/>
        <family val="2"/>
        <scheme val="minor"/>
      </rPr>
      <t xml:space="preserve"> (Mar)</t>
    </r>
  </si>
  <si>
    <r>
      <t>Contractor 3</t>
    </r>
    <r>
      <rPr>
        <sz val="12"/>
        <color theme="1"/>
        <rFont val="Calibri"/>
        <family val="2"/>
        <scheme val="minor"/>
      </rPr>
      <t xml:space="preserve"> (Now)</t>
    </r>
  </si>
  <si>
    <t>TOTAL</t>
  </si>
  <si>
    <t>46H to Contractors</t>
  </si>
  <si>
    <t>3H</t>
  </si>
  <si>
    <t>To Move Highs</t>
  </si>
  <si>
    <t>To Move Mediums</t>
  </si>
  <si>
    <t>Remains</t>
  </si>
  <si>
    <t>Remarks</t>
  </si>
  <si>
    <t>9 Should go to Desheng, Jenny. 7 should go to Steve</t>
  </si>
  <si>
    <t>7 From Yong</t>
  </si>
  <si>
    <t>9 From Yong</t>
  </si>
  <si>
    <t>?</t>
  </si>
  <si>
    <t>2H Add From Steve + 1H already he has</t>
  </si>
  <si>
    <t>36H to Contracters</t>
  </si>
  <si>
    <t>3H (Remaining to Contracters 1 and 2, 2H already Complted by Contracter 3)</t>
  </si>
  <si>
    <t>3H to Contracters</t>
  </si>
  <si>
    <t>Contracter 1</t>
  </si>
  <si>
    <t>Contracter 2</t>
  </si>
  <si>
    <t>Contracter 3 (Abhilash)</t>
  </si>
  <si>
    <t>BAU Developer</t>
  </si>
  <si>
    <t>Existing High</t>
  </si>
  <si>
    <t>Existing Medium</t>
  </si>
  <si>
    <t>Existing Total</t>
  </si>
  <si>
    <t>Proposed High</t>
  </si>
  <si>
    <t>Proposed Medium</t>
  </si>
  <si>
    <t>Proposed Total</t>
  </si>
  <si>
    <t>Contractor 1 (Mar)</t>
  </si>
  <si>
    <t>Contractor 2 (Mar)</t>
  </si>
  <si>
    <t>Contractor 3 (Current)</t>
  </si>
  <si>
    <t>From BAU Developer</t>
  </si>
  <si>
    <t>Highs Given Up</t>
  </si>
  <si>
    <t>Given To Contractor(s)</t>
  </si>
  <si>
    <t>Contractor 1, Contractor 2, Contractor 3</t>
  </si>
  <si>
    <t>Contractor 1, Contractor 2</t>
  </si>
  <si>
    <t>Contractor 2</t>
  </si>
  <si>
    <r>
      <t xml:space="preserve">Contractor 1 &amp; 2 </t>
    </r>
    <r>
      <rPr>
        <i/>
        <sz val="12"/>
        <color theme="1"/>
        <rFont val="Calibri"/>
        <family val="2"/>
        <scheme val="minor"/>
      </rPr>
      <t>(2 already completed by Contractor 3)</t>
    </r>
  </si>
  <si>
    <t>—</t>
  </si>
  <si>
    <t>Mediums Given Up</t>
  </si>
  <si>
    <t>Contractor 1 &amp; Contractor 2</t>
  </si>
  <si>
    <t>Contractor 3</t>
  </si>
  <si>
    <t>Keeps (High)</t>
  </si>
  <si>
    <t>Keeps (Medium)</t>
  </si>
  <si>
    <t>Notes</t>
  </si>
  <si>
    <t>Mediums reassigned from Yong</t>
  </si>
  <si>
    <t>2 High reassigned from Steve</t>
  </si>
  <si>
    <t>2 High already completed by Contractor 3</t>
  </si>
  <si>
    <t>Majority of Highs offloaded</t>
  </si>
  <si>
    <t>Largest medium donor</t>
  </si>
  <si>
    <t>→ Contractor 1</t>
  </si>
  <si>
    <t>→ Contractor 2</t>
  </si>
  <si>
    <t>→ Contractor 3</t>
  </si>
  <si>
    <t>Majority offloaded to all 3 contractors</t>
  </si>
  <si>
    <t>Evenly split to balance load</t>
  </si>
  <si>
    <t>Small high spillover</t>
  </si>
  <si>
    <r>
      <t>2</t>
    </r>
    <r>
      <rPr>
        <sz val="12"/>
        <color theme="1"/>
        <rFont val="Calibri"/>
        <family val="2"/>
        <scheme val="minor"/>
      </rPr>
      <t>*</t>
    </r>
  </si>
  <si>
    <t>*2 already completed by Contractor 3</t>
  </si>
  <si>
    <t>Matches contractor targets</t>
  </si>
  <si>
    <t>Contractor 1: 15 (Steve) + 12 (Desheng) + 2 (Jenny) = 29</t>
  </si>
  <si>
    <t>Contractor 2: 16 (Steve) + 12 (Desheng) + 3 (Yong) + 1 (Jenny) = 32</t>
  </si>
  <si>
    <t>Contractor 3: 15 (Steve) + 12 (Desheng) + 2 completed (Jenny) = 29</t>
  </si>
  <si>
    <t>Clean handoff</t>
  </si>
  <si>
    <t>Perfect balance</t>
  </si>
  <si>
    <t>High Received</t>
  </si>
  <si>
    <t>Medium Received</t>
  </si>
  <si>
    <t>Total Programs</t>
  </si>
  <si>
    <t>Contractor 1</t>
  </si>
  <si>
    <t>29 (incl. 2 done)</t>
  </si>
  <si>
    <t>BAU Dev</t>
  </si>
  <si>
    <t>Workload</t>
  </si>
  <si>
    <t>Phase 1: Medium #1 (5w)</t>
  </si>
  <si>
    <t>Phase 2: Medium #2–#3 (3w+3w)</t>
  </si>
  <si>
    <t>Phase 3: Remaining Mediums (2w each)</t>
  </si>
  <si>
    <t>Phase 4: 3 Highs (4w each)</t>
  </si>
  <si>
    <t>Finish</t>
  </si>
  <si>
    <t>9M + 3H</t>
  </si>
  <si>
    <t>12 Jan → 16 Feb</t>
  </si>
  <si>
    <t>16 Feb → 30 Mar</t>
  </si>
  <si>
    <t>30 Mar → 22 Jun (6 meds)</t>
  </si>
  <si>
    <t>22 Jun → 14 Sep</t>
  </si>
  <si>
    <t>10M + 3H</t>
  </si>
  <si>
    <t>30 Mar → 06 Jul (7 meds)</t>
  </si>
  <si>
    <t>06 Jul → 28 Sep</t>
  </si>
  <si>
    <t>Start</t>
  </si>
  <si>
    <t>Allocation</t>
  </si>
  <si>
    <t>Ramp window</t>
  </si>
  <si>
    <t>Steady execution window</t>
  </si>
  <si>
    <t>Finish (planned)</t>
  </si>
  <si>
    <t>29 High + 5 Medium</t>
  </si>
  <si>
    <t>02 Mar → 30 Mar (first highs slower)</t>
  </si>
  <si>
    <t>30 Mar → 06 Nov</t>
  </si>
  <si>
    <t>32 High + 5 Medium</t>
  </si>
  <si>
    <t>30 Mar → 27 Nov</t>
  </si>
  <si>
    <r>
      <t xml:space="preserve">29 High + 5 Medium </t>
    </r>
    <r>
      <rPr>
        <i/>
        <sz val="12"/>
        <color theme="1"/>
        <rFont val="Calibri"/>
        <family val="2"/>
        <scheme val="minor"/>
      </rPr>
      <t>(incl 2 highs already done)</t>
    </r>
  </si>
  <si>
    <t>12 Jan → 09 Feb (ramp)</t>
  </si>
  <si>
    <t>09 Feb → 18 Sep</t>
  </si>
  <si>
    <t>Stream</t>
  </si>
  <si>
    <t>Latest finish</t>
  </si>
  <si>
    <t>BAU conversions</t>
  </si>
  <si>
    <t>Contractor conversions</t>
  </si>
  <si>
    <t>Buffer for UAT/validation/closeout</t>
  </si>
  <si>
    <t>Portfolio target</t>
  </si>
  <si>
    <t>Dec 2026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</si>
</sst>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" fontId="0" fillId="0" borderId="0" xfId="0" applyNumberFormat="1"/>
    <xf numFmtId="0" fontId="1" fillId="0" borderId="1" xfId="0" applyFont="1" applyBorder="1"/>
    <xf numFmtId="0" fontId="0" fillId="0" borderId="1" xfId="0" applyBorder="1"/>
    <xf numFmtId="15" fontId="1" fillId="0" borderId="1" xfId="0" applyNumberFormat="1" applyFont="1" applyBorder="1"/>
    <xf numFmtId="15" fontId="0" fillId="0" borderId="1" xfId="0" applyNumberFormat="1" applyBorder="1"/>
    <xf numFmtId="17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DCC5-8225-1844-9544-163E281D9BD2}">
  <dimension ref="A2:L26"/>
  <sheetViews>
    <sheetView workbookViewId="0">
      <selection activeCell="A35" sqref="A35"/>
    </sheetView>
  </sheetViews>
  <sheetFormatPr baseColWidth="10" defaultRowHeight="16" x14ac:dyDescent="0.2"/>
  <cols>
    <col min="1" max="1" width="17" bestFit="1" customWidth="1"/>
    <col min="2" max="2" width="5" bestFit="1" customWidth="1"/>
    <col min="3" max="3" width="8" bestFit="1" customWidth="1"/>
    <col min="4" max="4" width="5.33203125" bestFit="1" customWidth="1"/>
    <col min="5" max="5" width="21" bestFit="1" customWidth="1"/>
  </cols>
  <sheetData>
    <row r="2" spans="1:12" x14ac:dyDescent="0.2">
      <c r="K2" s="2"/>
      <c r="L2">
        <f>21-9</f>
        <v>12</v>
      </c>
    </row>
    <row r="3" spans="1:12" x14ac:dyDescent="0.2">
      <c r="K3">
        <f>36+21</f>
        <v>57</v>
      </c>
    </row>
    <row r="7" spans="1:12" x14ac:dyDescent="0.2">
      <c r="C7">
        <f>C20+C22+C23</f>
        <v>59</v>
      </c>
    </row>
    <row r="9" spans="1:12" x14ac:dyDescent="0.2">
      <c r="A9" s="1" t="s">
        <v>14</v>
      </c>
      <c r="B9" s="1" t="s">
        <v>1</v>
      </c>
      <c r="C9" s="1" t="s">
        <v>2</v>
      </c>
      <c r="D9" s="1" t="s">
        <v>3</v>
      </c>
    </row>
    <row r="10" spans="1:12" x14ac:dyDescent="0.2">
      <c r="A10" s="1" t="s">
        <v>15</v>
      </c>
      <c r="B10">
        <v>29</v>
      </c>
      <c r="C10">
        <v>5</v>
      </c>
      <c r="D10">
        <v>34</v>
      </c>
    </row>
    <row r="11" spans="1:12" x14ac:dyDescent="0.2">
      <c r="A11" s="1" t="s">
        <v>16</v>
      </c>
      <c r="B11">
        <v>29</v>
      </c>
      <c r="C11">
        <v>5</v>
      </c>
      <c r="D11">
        <v>34</v>
      </c>
    </row>
    <row r="12" spans="1:12" x14ac:dyDescent="0.2">
      <c r="A12" s="1" t="s">
        <v>17</v>
      </c>
      <c r="B12">
        <v>30</v>
      </c>
      <c r="C12">
        <v>5</v>
      </c>
      <c r="D12">
        <v>35</v>
      </c>
    </row>
    <row r="13" spans="1:12" x14ac:dyDescent="0.2">
      <c r="A13" s="1" t="s">
        <v>18</v>
      </c>
      <c r="B13" s="1">
        <v>88</v>
      </c>
      <c r="C13" s="1">
        <v>15</v>
      </c>
      <c r="D13" s="1">
        <v>103</v>
      </c>
    </row>
    <row r="18" spans="1:10" x14ac:dyDescent="0.2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G18" s="1" t="s">
        <v>21</v>
      </c>
      <c r="H18" s="1" t="s">
        <v>23</v>
      </c>
      <c r="I18" s="1" t="s">
        <v>22</v>
      </c>
      <c r="J18" s="1" t="s">
        <v>24</v>
      </c>
    </row>
    <row r="19" spans="1:10" x14ac:dyDescent="0.2">
      <c r="A19" t="s">
        <v>5</v>
      </c>
      <c r="B19">
        <v>39</v>
      </c>
      <c r="C19">
        <v>0</v>
      </c>
      <c r="D19">
        <v>39</v>
      </c>
      <c r="E19" t="s">
        <v>6</v>
      </c>
      <c r="G19" t="s">
        <v>30</v>
      </c>
      <c r="H19" t="s">
        <v>20</v>
      </c>
      <c r="I19" t="str">
        <f>"+9"</f>
        <v>+9</v>
      </c>
      <c r="J19" t="s">
        <v>27</v>
      </c>
    </row>
    <row r="20" spans="1:10" x14ac:dyDescent="0.2">
      <c r="A20" t="s">
        <v>7</v>
      </c>
      <c r="B20">
        <v>1</v>
      </c>
      <c r="C20">
        <v>21</v>
      </c>
      <c r="D20">
        <v>22</v>
      </c>
      <c r="E20" t="s">
        <v>8</v>
      </c>
      <c r="G20" t="s">
        <v>29</v>
      </c>
      <c r="H20" t="s">
        <v>20</v>
      </c>
      <c r="I20" t="str">
        <f>"-12"</f>
        <v>-12</v>
      </c>
      <c r="J20" t="s">
        <v>28</v>
      </c>
    </row>
    <row r="21" spans="1:10" x14ac:dyDescent="0.2">
      <c r="A21" t="s">
        <v>9</v>
      </c>
      <c r="B21">
        <v>6</v>
      </c>
      <c r="C21">
        <v>0</v>
      </c>
      <c r="D21">
        <v>6</v>
      </c>
      <c r="E21" t="s">
        <v>10</v>
      </c>
      <c r="G21" t="s">
        <v>31</v>
      </c>
      <c r="H21" t="s">
        <v>20</v>
      </c>
      <c r="I21" t="str">
        <f t="shared" ref="I20:I23" si="0">"+9"</f>
        <v>+9</v>
      </c>
      <c r="J21" t="s">
        <v>27</v>
      </c>
    </row>
    <row r="22" spans="1:10" x14ac:dyDescent="0.2">
      <c r="A22" t="s">
        <v>11</v>
      </c>
      <c r="B22">
        <v>49</v>
      </c>
      <c r="C22">
        <v>2</v>
      </c>
      <c r="D22">
        <v>51</v>
      </c>
      <c r="E22" t="s">
        <v>12</v>
      </c>
      <c r="G22" t="s">
        <v>19</v>
      </c>
      <c r="H22" t="s">
        <v>20</v>
      </c>
      <c r="I22" t="str">
        <f>"+7"</f>
        <v>+7</v>
      </c>
      <c r="J22" t="s">
        <v>26</v>
      </c>
    </row>
    <row r="23" spans="1:10" x14ac:dyDescent="0.2">
      <c r="A23" t="s">
        <v>13</v>
      </c>
      <c r="B23">
        <v>6</v>
      </c>
      <c r="C23">
        <v>36</v>
      </c>
      <c r="D23">
        <v>42</v>
      </c>
      <c r="E23" t="s">
        <v>8</v>
      </c>
      <c r="G23" t="s">
        <v>32</v>
      </c>
      <c r="H23" t="s">
        <v>20</v>
      </c>
      <c r="I23" t="str">
        <f>"-27"</f>
        <v>-27</v>
      </c>
      <c r="J23" t="s">
        <v>25</v>
      </c>
    </row>
    <row r="24" spans="1:10" x14ac:dyDescent="0.2">
      <c r="A24" t="s">
        <v>33</v>
      </c>
      <c r="H24">
        <v>29</v>
      </c>
      <c r="I24" t="str">
        <f>"+5"</f>
        <v>+5</v>
      </c>
      <c r="J24" t="str">
        <f>"+5 from Gene"</f>
        <v>+5 from Gene</v>
      </c>
    </row>
    <row r="25" spans="1:10" x14ac:dyDescent="0.2">
      <c r="A25" t="s">
        <v>34</v>
      </c>
      <c r="H25">
        <v>29</v>
      </c>
      <c r="I25" t="str">
        <f t="shared" ref="I25:I26" si="1">"+5"</f>
        <v>+5</v>
      </c>
      <c r="J25" t="str">
        <f>"+5 from Yong"</f>
        <v>+5 from Yong</v>
      </c>
    </row>
    <row r="26" spans="1:10" x14ac:dyDescent="0.2">
      <c r="A26" t="s">
        <v>35</v>
      </c>
      <c r="H26">
        <v>29</v>
      </c>
      <c r="I26" t="str">
        <f t="shared" si="1"/>
        <v>+5</v>
      </c>
      <c r="J26" t="str">
        <f>"+5 from Yong"</f>
        <v>+5 from Yong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3530-A619-9141-9132-D9383299D4A6}">
  <dimension ref="A1:H62"/>
  <sheetViews>
    <sheetView tabSelected="1" zoomScale="130" zoomScaleNormal="130" workbookViewId="0">
      <selection activeCell="F57" sqref="F57"/>
    </sheetView>
  </sheetViews>
  <sheetFormatPr baseColWidth="10" defaultRowHeight="16" x14ac:dyDescent="0.2"/>
  <cols>
    <col min="1" max="1" width="19.1640625" bestFit="1" customWidth="1"/>
    <col min="2" max="2" width="14" bestFit="1" customWidth="1"/>
    <col min="3" max="3" width="47" bestFit="1" customWidth="1"/>
    <col min="4" max="4" width="35.5" bestFit="1" customWidth="1"/>
    <col min="5" max="5" width="18.83203125" bestFit="1" customWidth="1"/>
    <col min="6" max="6" width="32.83203125" bestFit="1" customWidth="1"/>
    <col min="7" max="7" width="23.83203125" bestFit="1" customWidth="1"/>
  </cols>
  <sheetData>
    <row r="1" spans="1:7" x14ac:dyDescent="0.2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</row>
    <row r="2" spans="1:7" x14ac:dyDescent="0.2">
      <c r="A2" s="3" t="s">
        <v>5</v>
      </c>
      <c r="B2" s="4">
        <v>39</v>
      </c>
      <c r="C2" s="4">
        <v>0</v>
      </c>
      <c r="D2" s="4">
        <v>39</v>
      </c>
      <c r="E2" s="3">
        <v>3</v>
      </c>
      <c r="F2" s="3">
        <v>9</v>
      </c>
      <c r="G2" s="3">
        <v>12</v>
      </c>
    </row>
    <row r="3" spans="1:7" x14ac:dyDescent="0.2">
      <c r="A3" s="3" t="s">
        <v>7</v>
      </c>
      <c r="B3" s="4">
        <v>1</v>
      </c>
      <c r="C3" s="4">
        <v>21</v>
      </c>
      <c r="D3" s="4">
        <v>22</v>
      </c>
      <c r="E3" s="3">
        <v>3</v>
      </c>
      <c r="F3" s="3">
        <v>9</v>
      </c>
      <c r="G3" s="3">
        <v>12</v>
      </c>
    </row>
    <row r="4" spans="1:7" x14ac:dyDescent="0.2">
      <c r="A4" s="3" t="s">
        <v>9</v>
      </c>
      <c r="B4" s="4">
        <v>6</v>
      </c>
      <c r="C4" s="4">
        <v>0</v>
      </c>
      <c r="D4" s="4">
        <v>6</v>
      </c>
      <c r="E4" s="3">
        <v>3</v>
      </c>
      <c r="F4" s="3">
        <v>10</v>
      </c>
      <c r="G4" s="3">
        <v>13</v>
      </c>
    </row>
    <row r="5" spans="1:7" x14ac:dyDescent="0.2">
      <c r="A5" s="3" t="s">
        <v>11</v>
      </c>
      <c r="B5" s="4">
        <v>49</v>
      </c>
      <c r="C5" s="4">
        <v>2</v>
      </c>
      <c r="D5" s="4">
        <v>51</v>
      </c>
      <c r="E5" s="3">
        <v>3</v>
      </c>
      <c r="F5" s="3">
        <v>9</v>
      </c>
      <c r="G5" s="3">
        <v>12</v>
      </c>
    </row>
    <row r="6" spans="1:7" x14ac:dyDescent="0.2">
      <c r="A6" s="3" t="s">
        <v>13</v>
      </c>
      <c r="B6" s="4">
        <v>6</v>
      </c>
      <c r="C6" s="4">
        <v>36</v>
      </c>
      <c r="D6" s="4">
        <v>42</v>
      </c>
      <c r="E6" s="3">
        <v>3</v>
      </c>
      <c r="F6" s="3">
        <v>9</v>
      </c>
      <c r="G6" s="3">
        <v>12</v>
      </c>
    </row>
    <row r="8" spans="1:7" x14ac:dyDescent="0.2">
      <c r="A8" s="3" t="s">
        <v>14</v>
      </c>
      <c r="B8" s="3" t="s">
        <v>37</v>
      </c>
      <c r="C8" s="3" t="s">
        <v>38</v>
      </c>
      <c r="D8" s="3" t="s">
        <v>40</v>
      </c>
      <c r="E8" s="3" t="s">
        <v>41</v>
      </c>
      <c r="F8" s="3" t="s">
        <v>42</v>
      </c>
    </row>
    <row r="9" spans="1:7" x14ac:dyDescent="0.2">
      <c r="A9" s="3" t="s">
        <v>43</v>
      </c>
      <c r="B9" s="4">
        <v>0</v>
      </c>
      <c r="C9" s="4">
        <v>0</v>
      </c>
      <c r="D9" s="3">
        <v>29</v>
      </c>
      <c r="E9" s="3">
        <v>5</v>
      </c>
      <c r="F9" s="3">
        <v>34</v>
      </c>
    </row>
    <row r="10" spans="1:7" x14ac:dyDescent="0.2">
      <c r="A10" s="3" t="s">
        <v>44</v>
      </c>
      <c r="B10" s="4">
        <v>0</v>
      </c>
      <c r="C10" s="4">
        <v>0</v>
      </c>
      <c r="D10" s="3">
        <v>29</v>
      </c>
      <c r="E10" s="3">
        <v>5</v>
      </c>
      <c r="F10" s="3">
        <v>34</v>
      </c>
    </row>
    <row r="11" spans="1:7" x14ac:dyDescent="0.2">
      <c r="A11" s="3" t="s">
        <v>45</v>
      </c>
      <c r="B11" s="3">
        <v>2</v>
      </c>
      <c r="C11" s="4">
        <v>0</v>
      </c>
      <c r="D11" s="3">
        <v>30</v>
      </c>
      <c r="E11" s="3">
        <v>5</v>
      </c>
      <c r="F11" s="3">
        <v>35</v>
      </c>
    </row>
    <row r="12" spans="1:7" x14ac:dyDescent="0.2">
      <c r="A12" s="3" t="s">
        <v>18</v>
      </c>
      <c r="B12" s="3">
        <v>2</v>
      </c>
      <c r="C12" s="4">
        <v>0</v>
      </c>
      <c r="D12" s="3">
        <v>88</v>
      </c>
      <c r="E12" s="3">
        <v>15</v>
      </c>
      <c r="F12" s="3">
        <v>103</v>
      </c>
    </row>
    <row r="14" spans="1:7" x14ac:dyDescent="0.2">
      <c r="A14" s="3" t="s">
        <v>46</v>
      </c>
      <c r="B14" s="3" t="s">
        <v>47</v>
      </c>
      <c r="C14" s="3" t="s">
        <v>48</v>
      </c>
      <c r="E14" s="3" t="s">
        <v>46</v>
      </c>
      <c r="F14" s="3" t="s">
        <v>54</v>
      </c>
      <c r="G14" s="3" t="s">
        <v>48</v>
      </c>
    </row>
    <row r="15" spans="1:7" x14ac:dyDescent="0.2">
      <c r="A15" s="3" t="s">
        <v>11</v>
      </c>
      <c r="B15" s="4">
        <v>46</v>
      </c>
      <c r="C15" s="4" t="s">
        <v>49</v>
      </c>
      <c r="E15" s="3" t="s">
        <v>13</v>
      </c>
      <c r="F15" s="4">
        <v>10</v>
      </c>
      <c r="G15" s="4" t="s">
        <v>55</v>
      </c>
    </row>
    <row r="16" spans="1:7" x14ac:dyDescent="0.2">
      <c r="A16" s="3" t="s">
        <v>5</v>
      </c>
      <c r="B16" s="4">
        <v>36</v>
      </c>
      <c r="C16" s="4" t="s">
        <v>50</v>
      </c>
      <c r="E16" s="3" t="s">
        <v>7</v>
      </c>
      <c r="F16" s="4">
        <v>5</v>
      </c>
      <c r="G16" s="4" t="s">
        <v>56</v>
      </c>
    </row>
    <row r="17" spans="1:8" x14ac:dyDescent="0.2">
      <c r="A17" s="3" t="s">
        <v>13</v>
      </c>
      <c r="B17" s="4">
        <v>3</v>
      </c>
      <c r="C17" s="4" t="s">
        <v>51</v>
      </c>
      <c r="E17" s="3" t="s">
        <v>18</v>
      </c>
      <c r="F17" s="3">
        <v>15</v>
      </c>
      <c r="G17" s="4" t="s">
        <v>53</v>
      </c>
    </row>
    <row r="18" spans="1:8" x14ac:dyDescent="0.2">
      <c r="A18" s="3" t="s">
        <v>9</v>
      </c>
      <c r="B18" s="4">
        <v>3</v>
      </c>
      <c r="C18" s="4" t="s">
        <v>52</v>
      </c>
    </row>
    <row r="19" spans="1:8" x14ac:dyDescent="0.2">
      <c r="A19" s="3" t="s">
        <v>18</v>
      </c>
      <c r="B19" s="3">
        <v>88</v>
      </c>
      <c r="C19" s="4" t="s">
        <v>53</v>
      </c>
    </row>
    <row r="21" spans="1:8" x14ac:dyDescent="0.2">
      <c r="A21" s="3" t="s">
        <v>36</v>
      </c>
      <c r="B21" s="3" t="s">
        <v>57</v>
      </c>
      <c r="C21" s="3" t="s">
        <v>58</v>
      </c>
      <c r="D21" s="3" t="s">
        <v>59</v>
      </c>
    </row>
    <row r="22" spans="1:8" x14ac:dyDescent="0.2">
      <c r="A22" s="3" t="s">
        <v>5</v>
      </c>
      <c r="B22" s="4">
        <v>3</v>
      </c>
      <c r="C22" s="4">
        <v>9</v>
      </c>
      <c r="D22" s="4" t="s">
        <v>60</v>
      </c>
    </row>
    <row r="23" spans="1:8" x14ac:dyDescent="0.2">
      <c r="A23" s="3" t="s">
        <v>7</v>
      </c>
      <c r="B23" s="4">
        <v>3</v>
      </c>
      <c r="C23" s="4">
        <v>9</v>
      </c>
      <c r="D23" s="4" t="s">
        <v>61</v>
      </c>
    </row>
    <row r="24" spans="1:8" x14ac:dyDescent="0.2">
      <c r="A24" s="3" t="s">
        <v>9</v>
      </c>
      <c r="B24" s="4">
        <v>3</v>
      </c>
      <c r="C24" s="4">
        <v>10</v>
      </c>
      <c r="D24" s="4" t="s">
        <v>62</v>
      </c>
    </row>
    <row r="25" spans="1:8" x14ac:dyDescent="0.2">
      <c r="A25" s="3" t="s">
        <v>11</v>
      </c>
      <c r="B25" s="4">
        <v>3</v>
      </c>
      <c r="C25" s="4">
        <v>9</v>
      </c>
      <c r="D25" s="4" t="s">
        <v>63</v>
      </c>
    </row>
    <row r="26" spans="1:8" x14ac:dyDescent="0.2">
      <c r="A26" s="3" t="s">
        <v>13</v>
      </c>
      <c r="B26" s="4">
        <v>3</v>
      </c>
      <c r="C26" s="4">
        <v>9</v>
      </c>
      <c r="D26" s="4" t="s">
        <v>64</v>
      </c>
    </row>
    <row r="28" spans="1:8" x14ac:dyDescent="0.2">
      <c r="A28" s="3" t="s">
        <v>46</v>
      </c>
      <c r="B28" s="3" t="s">
        <v>47</v>
      </c>
      <c r="C28" s="3" t="s">
        <v>65</v>
      </c>
      <c r="D28" s="3" t="s">
        <v>66</v>
      </c>
      <c r="E28" s="3" t="s">
        <v>67</v>
      </c>
      <c r="F28" s="3" t="s">
        <v>24</v>
      </c>
    </row>
    <row r="29" spans="1:8" x14ac:dyDescent="0.2">
      <c r="A29" s="3" t="s">
        <v>11</v>
      </c>
      <c r="B29" s="4">
        <v>46</v>
      </c>
      <c r="C29" s="3">
        <v>15</v>
      </c>
      <c r="D29" s="3">
        <v>16</v>
      </c>
      <c r="E29" s="3">
        <v>15</v>
      </c>
      <c r="F29" s="4" t="s">
        <v>68</v>
      </c>
      <c r="H29" t="s">
        <v>74</v>
      </c>
    </row>
    <row r="30" spans="1:8" x14ac:dyDescent="0.2">
      <c r="A30" s="3" t="s">
        <v>5</v>
      </c>
      <c r="B30" s="4">
        <v>36</v>
      </c>
      <c r="C30" s="3">
        <v>12</v>
      </c>
      <c r="D30" s="3">
        <v>12</v>
      </c>
      <c r="E30" s="3">
        <v>12</v>
      </c>
      <c r="F30" s="4" t="s">
        <v>69</v>
      </c>
      <c r="H30" t="s">
        <v>75</v>
      </c>
    </row>
    <row r="31" spans="1:8" x14ac:dyDescent="0.2">
      <c r="A31" s="3" t="s">
        <v>13</v>
      </c>
      <c r="B31" s="4">
        <v>3</v>
      </c>
      <c r="C31" s="4">
        <v>0</v>
      </c>
      <c r="D31" s="3">
        <v>3</v>
      </c>
      <c r="E31" s="4">
        <v>0</v>
      </c>
      <c r="F31" s="4" t="s">
        <v>70</v>
      </c>
      <c r="H31" t="s">
        <v>76</v>
      </c>
    </row>
    <row r="32" spans="1:8" x14ac:dyDescent="0.2">
      <c r="A32" s="3" t="s">
        <v>9</v>
      </c>
      <c r="B32" s="4">
        <v>3</v>
      </c>
      <c r="C32" s="3">
        <v>2</v>
      </c>
      <c r="D32" s="3">
        <v>1</v>
      </c>
      <c r="E32" s="3" t="s">
        <v>71</v>
      </c>
      <c r="F32" s="4" t="s">
        <v>72</v>
      </c>
    </row>
    <row r="33" spans="1:7" x14ac:dyDescent="0.2">
      <c r="A33" s="3" t="s">
        <v>18</v>
      </c>
      <c r="B33" s="3">
        <v>88</v>
      </c>
      <c r="C33" s="3">
        <v>29</v>
      </c>
      <c r="D33" s="3">
        <v>32</v>
      </c>
      <c r="E33" s="3">
        <v>29</v>
      </c>
      <c r="F33" s="4" t="s">
        <v>73</v>
      </c>
    </row>
    <row r="35" spans="1:7" x14ac:dyDescent="0.2">
      <c r="A35" s="3" t="s">
        <v>46</v>
      </c>
      <c r="B35" s="3" t="s">
        <v>54</v>
      </c>
      <c r="C35" s="3" t="s">
        <v>65</v>
      </c>
      <c r="D35" s="3" t="s">
        <v>66</v>
      </c>
      <c r="E35" s="3" t="s">
        <v>67</v>
      </c>
      <c r="F35" s="3" t="s">
        <v>24</v>
      </c>
    </row>
    <row r="36" spans="1:7" x14ac:dyDescent="0.2">
      <c r="A36" s="3" t="s">
        <v>13</v>
      </c>
      <c r="B36" s="4">
        <v>10</v>
      </c>
      <c r="C36" s="3">
        <v>5</v>
      </c>
      <c r="D36" s="3">
        <v>5</v>
      </c>
      <c r="E36" s="4">
        <v>0</v>
      </c>
      <c r="F36" s="4" t="s">
        <v>64</v>
      </c>
    </row>
    <row r="37" spans="1:7" x14ac:dyDescent="0.2">
      <c r="A37" s="3" t="s">
        <v>7</v>
      </c>
      <c r="B37" s="4">
        <v>5</v>
      </c>
      <c r="C37" s="4">
        <v>0</v>
      </c>
      <c r="D37" s="4">
        <v>0</v>
      </c>
      <c r="E37" s="3">
        <v>5</v>
      </c>
      <c r="F37" s="4" t="s">
        <v>77</v>
      </c>
    </row>
    <row r="38" spans="1:7" x14ac:dyDescent="0.2">
      <c r="A38" s="3" t="s">
        <v>18</v>
      </c>
      <c r="B38" s="3">
        <v>15</v>
      </c>
      <c r="C38" s="3">
        <v>5</v>
      </c>
      <c r="D38" s="3">
        <v>5</v>
      </c>
      <c r="E38" s="3">
        <v>5</v>
      </c>
      <c r="F38" s="4" t="s">
        <v>78</v>
      </c>
    </row>
    <row r="41" spans="1:7" x14ac:dyDescent="0.2">
      <c r="A41" s="3" t="s">
        <v>14</v>
      </c>
      <c r="B41" s="3" t="s">
        <v>79</v>
      </c>
      <c r="C41" s="3" t="s">
        <v>80</v>
      </c>
      <c r="D41" s="3" t="s">
        <v>81</v>
      </c>
    </row>
    <row r="42" spans="1:7" x14ac:dyDescent="0.2">
      <c r="A42" s="3" t="s">
        <v>82</v>
      </c>
      <c r="B42" s="4">
        <v>29</v>
      </c>
      <c r="C42" s="4">
        <v>5</v>
      </c>
      <c r="D42" s="3">
        <v>34</v>
      </c>
    </row>
    <row r="43" spans="1:7" x14ac:dyDescent="0.2">
      <c r="A43" s="3" t="s">
        <v>51</v>
      </c>
      <c r="B43" s="4">
        <v>32</v>
      </c>
      <c r="C43" s="4">
        <v>5</v>
      </c>
      <c r="D43" s="3">
        <v>37</v>
      </c>
    </row>
    <row r="44" spans="1:7" x14ac:dyDescent="0.2">
      <c r="A44" s="3" t="s">
        <v>56</v>
      </c>
      <c r="B44" s="4" t="s">
        <v>83</v>
      </c>
      <c r="C44" s="4">
        <v>5</v>
      </c>
      <c r="D44" s="3">
        <v>34</v>
      </c>
    </row>
    <row r="46" spans="1:7" x14ac:dyDescent="0.2">
      <c r="A46" s="3" t="s">
        <v>84</v>
      </c>
      <c r="B46" s="3" t="s">
        <v>85</v>
      </c>
      <c r="C46" s="3" t="s">
        <v>86</v>
      </c>
      <c r="D46" s="3" t="s">
        <v>87</v>
      </c>
      <c r="E46" s="3" t="s">
        <v>88</v>
      </c>
      <c r="F46" s="3" t="s">
        <v>89</v>
      </c>
      <c r="G46" s="3" t="s">
        <v>90</v>
      </c>
    </row>
    <row r="47" spans="1:7" x14ac:dyDescent="0.2">
      <c r="A47" s="3" t="s">
        <v>5</v>
      </c>
      <c r="B47" s="4" t="s">
        <v>91</v>
      </c>
      <c r="C47" s="4" t="s">
        <v>92</v>
      </c>
      <c r="D47" s="4" t="s">
        <v>93</v>
      </c>
      <c r="E47" s="4" t="s">
        <v>94</v>
      </c>
      <c r="F47" s="4" t="s">
        <v>95</v>
      </c>
      <c r="G47" s="5">
        <v>46279</v>
      </c>
    </row>
    <row r="48" spans="1:7" x14ac:dyDescent="0.2">
      <c r="A48" s="3" t="s">
        <v>7</v>
      </c>
      <c r="B48" s="4" t="s">
        <v>91</v>
      </c>
      <c r="C48" s="4" t="s">
        <v>92</v>
      </c>
      <c r="D48" s="4" t="s">
        <v>93</v>
      </c>
      <c r="E48" s="4" t="s">
        <v>94</v>
      </c>
      <c r="F48" s="4" t="s">
        <v>95</v>
      </c>
      <c r="G48" s="5">
        <v>46279</v>
      </c>
    </row>
    <row r="49" spans="1:7" x14ac:dyDescent="0.2">
      <c r="A49" s="3" t="s">
        <v>11</v>
      </c>
      <c r="B49" s="4" t="s">
        <v>91</v>
      </c>
      <c r="C49" s="4" t="s">
        <v>92</v>
      </c>
      <c r="D49" s="4" t="s">
        <v>93</v>
      </c>
      <c r="E49" s="4" t="s">
        <v>94</v>
      </c>
      <c r="F49" s="4" t="s">
        <v>95</v>
      </c>
      <c r="G49" s="5">
        <v>46279</v>
      </c>
    </row>
    <row r="50" spans="1:7" x14ac:dyDescent="0.2">
      <c r="A50" s="3" t="s">
        <v>13</v>
      </c>
      <c r="B50" s="4" t="s">
        <v>91</v>
      </c>
      <c r="C50" s="4" t="s">
        <v>92</v>
      </c>
      <c r="D50" s="4" t="s">
        <v>93</v>
      </c>
      <c r="E50" s="4" t="s">
        <v>94</v>
      </c>
      <c r="F50" s="4" t="s">
        <v>95</v>
      </c>
      <c r="G50" s="5">
        <v>46279</v>
      </c>
    </row>
    <row r="51" spans="1:7" x14ac:dyDescent="0.2">
      <c r="A51" s="3" t="s">
        <v>9</v>
      </c>
      <c r="B51" s="4" t="s">
        <v>96</v>
      </c>
      <c r="C51" s="4" t="s">
        <v>92</v>
      </c>
      <c r="D51" s="4" t="s">
        <v>93</v>
      </c>
      <c r="E51" s="4" t="s">
        <v>97</v>
      </c>
      <c r="F51" s="4" t="s">
        <v>98</v>
      </c>
      <c r="G51" s="5">
        <v>46293</v>
      </c>
    </row>
    <row r="53" spans="1:7" x14ac:dyDescent="0.2">
      <c r="A53" s="3" t="s">
        <v>14</v>
      </c>
      <c r="B53" s="3" t="s">
        <v>99</v>
      </c>
      <c r="C53" s="3" t="s">
        <v>100</v>
      </c>
      <c r="D53" s="3" t="s">
        <v>101</v>
      </c>
      <c r="E53" s="3" t="s">
        <v>102</v>
      </c>
      <c r="F53" s="3" t="s">
        <v>103</v>
      </c>
    </row>
    <row r="54" spans="1:7" x14ac:dyDescent="0.2">
      <c r="A54" s="3" t="s">
        <v>82</v>
      </c>
      <c r="B54" s="6">
        <v>46083</v>
      </c>
      <c r="C54" s="4" t="s">
        <v>104</v>
      </c>
      <c r="D54" s="4" t="s">
        <v>105</v>
      </c>
      <c r="E54" s="4" t="s">
        <v>106</v>
      </c>
      <c r="F54" s="5">
        <v>46332</v>
      </c>
    </row>
    <row r="55" spans="1:7" x14ac:dyDescent="0.2">
      <c r="A55" s="3" t="s">
        <v>51</v>
      </c>
      <c r="B55" s="6">
        <v>46083</v>
      </c>
      <c r="C55" s="4" t="s">
        <v>107</v>
      </c>
      <c r="D55" s="4" t="s">
        <v>105</v>
      </c>
      <c r="E55" s="4" t="s">
        <v>108</v>
      </c>
      <c r="F55" s="5">
        <v>46353</v>
      </c>
    </row>
    <row r="56" spans="1:7" x14ac:dyDescent="0.2">
      <c r="A56" s="3" t="s">
        <v>56</v>
      </c>
      <c r="B56" s="6">
        <v>46034</v>
      </c>
      <c r="C56" s="4" t="s">
        <v>109</v>
      </c>
      <c r="D56" s="4" t="s">
        <v>110</v>
      </c>
      <c r="E56" s="4" t="s">
        <v>111</v>
      </c>
      <c r="F56" s="5">
        <v>46283</v>
      </c>
    </row>
    <row r="58" spans="1:7" x14ac:dyDescent="0.2">
      <c r="A58" s="3" t="s">
        <v>112</v>
      </c>
      <c r="B58" s="3" t="s">
        <v>113</v>
      </c>
    </row>
    <row r="59" spans="1:7" x14ac:dyDescent="0.2">
      <c r="A59" s="3" t="s">
        <v>114</v>
      </c>
      <c r="B59" s="5">
        <v>46293</v>
      </c>
    </row>
    <row r="60" spans="1:7" x14ac:dyDescent="0.2">
      <c r="A60" s="3" t="s">
        <v>115</v>
      </c>
      <c r="B60" s="5">
        <v>46353</v>
      </c>
    </row>
    <row r="61" spans="1:7" x14ac:dyDescent="0.2">
      <c r="A61" s="3" t="s">
        <v>116</v>
      </c>
      <c r="B61" s="7">
        <v>46357</v>
      </c>
    </row>
    <row r="62" spans="1:7" x14ac:dyDescent="0.2">
      <c r="A62" s="3" t="s">
        <v>117</v>
      </c>
      <c r="B62" s="3" t="s">
        <v>118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</dc:creator>
  <cp:lastModifiedBy>Aryan Kumar</cp:lastModifiedBy>
  <dcterms:created xsi:type="dcterms:W3CDTF">2026-01-07T13:46:51Z</dcterms:created>
  <dcterms:modified xsi:type="dcterms:W3CDTF">2026-01-07T14:32:06Z</dcterms:modified>
</cp:coreProperties>
</file>